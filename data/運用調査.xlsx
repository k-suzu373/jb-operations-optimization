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-win\Documents\NeuroDive\202512成果物\jb-operations-optimization\data\"/>
    </mc:Choice>
  </mc:AlternateContent>
  <xr:revisionPtr revIDLastSave="0" documentId="13_ncr:1_{12A4E99D-CD49-470D-A589-24D5212A8C7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走行距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2" l="1"/>
  <c r="E13" i="2"/>
  <c r="F7" i="2"/>
  <c r="F3" i="2"/>
  <c r="F4" i="2"/>
  <c r="F5" i="2"/>
  <c r="F6" i="2"/>
  <c r="F8" i="2"/>
  <c r="F9" i="2"/>
  <c r="F10" i="2"/>
  <c r="F11" i="2"/>
  <c r="F12" i="2"/>
  <c r="F2" i="2"/>
  <c r="F13" i="2" l="1"/>
</calcChain>
</file>

<file path=xl/sharedStrings.xml><?xml version="1.0" encoding="utf-8"?>
<sst xmlns="http://schemas.openxmlformats.org/spreadsheetml/2006/main" count="235" uniqueCount="80">
  <si>
    <t>運用開始駅</t>
    <rPh sb="0" eb="5">
      <t>ウンヨウカイシエキ</t>
    </rPh>
    <phoneticPr fontId="1"/>
  </si>
  <si>
    <t>運用終了駅</t>
    <rPh sb="0" eb="5">
      <t>ウンヨウシュウリョウエキ</t>
    </rPh>
    <phoneticPr fontId="1"/>
  </si>
  <si>
    <t>朝のみ</t>
    <rPh sb="0" eb="1">
      <t>アサ</t>
    </rPh>
    <phoneticPr fontId="1"/>
  </si>
  <si>
    <t>終日</t>
    <rPh sb="0" eb="2">
      <t>シュウジツ</t>
    </rPh>
    <phoneticPr fontId="1"/>
  </si>
  <si>
    <t>三鷹</t>
    <rPh sb="0" eb="2">
      <t>ミタカ</t>
    </rPh>
    <phoneticPr fontId="1"/>
  </si>
  <si>
    <t>中野</t>
    <rPh sb="0" eb="2">
      <t>ナカノ</t>
    </rPh>
    <phoneticPr fontId="1"/>
  </si>
  <si>
    <t>西船橋</t>
    <rPh sb="0" eb="3">
      <t>ニシフナバシ</t>
    </rPh>
    <phoneticPr fontId="1"/>
  </si>
  <si>
    <t>津田沼</t>
    <rPh sb="0" eb="3">
      <t>ツダヌマ</t>
    </rPh>
    <phoneticPr fontId="1"/>
  </si>
  <si>
    <t>千葉</t>
    <rPh sb="0" eb="2">
      <t>チバ</t>
    </rPh>
    <phoneticPr fontId="1"/>
  </si>
  <si>
    <t>幕張</t>
    <rPh sb="0" eb="2">
      <t>マクハリ</t>
    </rPh>
    <phoneticPr fontId="1"/>
  </si>
  <si>
    <t>御茶ノ水</t>
    <rPh sb="0" eb="2">
      <t>オチャ</t>
    </rPh>
    <rPh sb="3" eb="4">
      <t>ミズ</t>
    </rPh>
    <phoneticPr fontId="1"/>
  </si>
  <si>
    <t>01B</t>
    <phoneticPr fontId="1"/>
  </si>
  <si>
    <t>03B</t>
    <phoneticPr fontId="1"/>
  </si>
  <si>
    <t>05B</t>
    <phoneticPr fontId="1"/>
  </si>
  <si>
    <t>07B</t>
    <phoneticPr fontId="1"/>
  </si>
  <si>
    <t>09B</t>
    <phoneticPr fontId="1"/>
  </si>
  <si>
    <t>11B</t>
    <phoneticPr fontId="1"/>
  </si>
  <si>
    <t>13B</t>
    <phoneticPr fontId="1"/>
  </si>
  <si>
    <t>15B</t>
    <phoneticPr fontId="1"/>
  </si>
  <si>
    <t>17B</t>
    <phoneticPr fontId="1"/>
  </si>
  <si>
    <t>19B</t>
    <phoneticPr fontId="1"/>
  </si>
  <si>
    <t>21B</t>
    <phoneticPr fontId="1"/>
  </si>
  <si>
    <t>23B</t>
    <phoneticPr fontId="1"/>
  </si>
  <si>
    <t>25B</t>
    <phoneticPr fontId="1"/>
  </si>
  <si>
    <t>27B</t>
    <phoneticPr fontId="1"/>
  </si>
  <si>
    <t>29B</t>
    <phoneticPr fontId="1"/>
  </si>
  <si>
    <t>31B</t>
    <phoneticPr fontId="1"/>
  </si>
  <si>
    <t>33B</t>
    <phoneticPr fontId="1"/>
  </si>
  <si>
    <t>朝夕のみ</t>
    <rPh sb="0" eb="2">
      <t>アサユウ</t>
    </rPh>
    <phoneticPr fontId="1"/>
  </si>
  <si>
    <t>35B</t>
    <phoneticPr fontId="1"/>
  </si>
  <si>
    <t>37B</t>
    <phoneticPr fontId="1"/>
  </si>
  <si>
    <t>39B</t>
    <phoneticPr fontId="1"/>
  </si>
  <si>
    <t>41B</t>
    <phoneticPr fontId="1"/>
  </si>
  <si>
    <t>43B</t>
    <phoneticPr fontId="1"/>
  </si>
  <si>
    <t>45B</t>
    <phoneticPr fontId="1"/>
  </si>
  <si>
    <t>47B</t>
    <phoneticPr fontId="1"/>
  </si>
  <si>
    <t>49B</t>
    <phoneticPr fontId="1"/>
  </si>
  <si>
    <t>51B</t>
    <phoneticPr fontId="1"/>
  </si>
  <si>
    <t>53B</t>
    <phoneticPr fontId="1"/>
  </si>
  <si>
    <t>55B</t>
    <phoneticPr fontId="1"/>
  </si>
  <si>
    <t>57B</t>
    <phoneticPr fontId="1"/>
  </si>
  <si>
    <t>59B</t>
    <phoneticPr fontId="1"/>
  </si>
  <si>
    <t>61B</t>
    <phoneticPr fontId="1"/>
  </si>
  <si>
    <t>63B</t>
    <phoneticPr fontId="1"/>
  </si>
  <si>
    <t>65B</t>
    <phoneticPr fontId="1"/>
  </si>
  <si>
    <t>67B</t>
    <phoneticPr fontId="1"/>
  </si>
  <si>
    <t>69B</t>
    <phoneticPr fontId="1"/>
  </si>
  <si>
    <t>71B</t>
    <phoneticPr fontId="1"/>
  </si>
  <si>
    <t>73B</t>
    <phoneticPr fontId="1"/>
  </si>
  <si>
    <t>75B</t>
    <phoneticPr fontId="1"/>
  </si>
  <si>
    <t>77B</t>
    <phoneticPr fontId="1"/>
  </si>
  <si>
    <t>79B</t>
    <phoneticPr fontId="1"/>
  </si>
  <si>
    <t>81B</t>
    <phoneticPr fontId="1"/>
  </si>
  <si>
    <t>83B</t>
    <phoneticPr fontId="1"/>
  </si>
  <si>
    <t>85B</t>
    <phoneticPr fontId="1"/>
  </si>
  <si>
    <t>87B</t>
    <phoneticPr fontId="1"/>
  </si>
  <si>
    <t>89B</t>
    <phoneticPr fontId="1"/>
  </si>
  <si>
    <t>91B</t>
    <phoneticPr fontId="1"/>
  </si>
  <si>
    <t>93B</t>
    <phoneticPr fontId="1"/>
  </si>
  <si>
    <t>95B</t>
    <phoneticPr fontId="1"/>
  </si>
  <si>
    <t>97B</t>
    <phoneticPr fontId="1"/>
  </si>
  <si>
    <t>99B</t>
    <phoneticPr fontId="1"/>
  </si>
  <si>
    <t>01C</t>
    <phoneticPr fontId="1"/>
  </si>
  <si>
    <t>03C</t>
    <phoneticPr fontId="1"/>
  </si>
  <si>
    <t>05C</t>
    <phoneticPr fontId="1"/>
  </si>
  <si>
    <t>07C</t>
    <phoneticPr fontId="1"/>
  </si>
  <si>
    <t>翌日固定運用</t>
    <rPh sb="0" eb="6">
      <t>ヨクジツコテイウンヨウ</t>
    </rPh>
    <phoneticPr fontId="1"/>
  </si>
  <si>
    <t>→</t>
    <phoneticPr fontId="1"/>
  </si>
  <si>
    <t>三鷹</t>
    <phoneticPr fontId="1"/>
  </si>
  <si>
    <t>千葉</t>
    <phoneticPr fontId="1"/>
  </si>
  <si>
    <t>津田沼</t>
    <phoneticPr fontId="1"/>
  </si>
  <si>
    <t>西船橋</t>
    <phoneticPr fontId="1"/>
  </si>
  <si>
    <t>幕張</t>
    <phoneticPr fontId="1"/>
  </si>
  <si>
    <t>御茶ノ水</t>
    <phoneticPr fontId="1"/>
  </si>
  <si>
    <t>中野</t>
    <phoneticPr fontId="1"/>
  </si>
  <si>
    <t>距離(km)</t>
    <phoneticPr fontId="1"/>
  </si>
  <si>
    <t>回数</t>
    <phoneticPr fontId="1"/>
  </si>
  <si>
    <t>走行距離</t>
    <phoneticPr fontId="1"/>
  </si>
  <si>
    <t>合計</t>
    <phoneticPr fontId="1"/>
  </si>
  <si>
    <t>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</si>
</sst>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2" borderId="6" xfId="0" applyFill="1" applyBorder="1"/>
    <xf numFmtId="0" fontId="0" fillId="3" borderId="8" xfId="0" applyFill="1" applyBorder="1"/>
    <xf numFmtId="0" fontId="0" fillId="3" borderId="6" xfId="0" applyFill="1" applyBorder="1"/>
    <xf numFmtId="0" fontId="0" fillId="0" borderId="9" xfId="0" applyBorder="1"/>
    <xf numFmtId="0" fontId="0" fillId="2" borderId="10" xfId="0" applyFill="1" applyBorder="1"/>
    <xf numFmtId="0" fontId="0" fillId="0" borderId="10" xfId="0" applyBorder="1"/>
    <xf numFmtId="0" fontId="0" fillId="3" borderId="11" xfId="0" applyFill="1" applyBorder="1"/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3" borderId="3" xfId="0" applyFill="1" applyBorder="1"/>
    <xf numFmtId="0" fontId="0" fillId="2" borderId="4" xfId="0" applyFill="1" applyBorder="1"/>
    <xf numFmtId="0" fontId="0" fillId="0" borderId="17" xfId="0" applyBorder="1"/>
    <xf numFmtId="0" fontId="0" fillId="3" borderId="18" xfId="0" applyFill="1" applyBorder="1"/>
    <xf numFmtId="0" fontId="0" fillId="0" borderId="18" xfId="0" applyBorder="1"/>
    <xf numFmtId="0" fontId="0" fillId="3" borderId="19" xfId="0" applyFill="1" applyBorder="1"/>
    <xf numFmtId="0" fontId="0" fillId="2" borderId="18" xfId="0" applyFill="1" applyBorder="1"/>
    <xf numFmtId="0" fontId="0" fillId="0" borderId="20" xfId="0" applyBorder="1"/>
    <xf numFmtId="0" fontId="0" fillId="0" borderId="16" xfId="0" applyBorder="1"/>
    <xf numFmtId="0" fontId="0" fillId="0" borderId="19" xfId="0" applyBorder="1"/>
    <xf numFmtId="0" fontId="0" fillId="0" borderId="21" xfId="0" applyBorder="1"/>
    <xf numFmtId="0" fontId="0" fillId="2" borderId="22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3" borderId="2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D13" sqref="D13"/>
    </sheetView>
  </sheetViews>
  <sheetFormatPr defaultRowHeight="18"/>
  <cols>
    <col min="1" max="1" width="10.8984375" style="8" customWidth="1"/>
    <col min="2" max="3" width="9" style="1"/>
    <col min="4" max="4" width="9" style="11"/>
    <col min="5" max="5" width="10.8984375" style="8" customWidth="1"/>
    <col min="6" max="7" width="9" style="1"/>
    <col min="8" max="8" width="9" style="9"/>
  </cols>
  <sheetData>
    <row r="1" spans="1:12" ht="18.600000000000001" thickBot="1">
      <c r="A1" s="15" t="s">
        <v>0</v>
      </c>
      <c r="B1" s="16" t="s">
        <v>2</v>
      </c>
      <c r="C1" s="17" t="s">
        <v>3</v>
      </c>
      <c r="D1" s="18" t="s">
        <v>28</v>
      </c>
      <c r="E1" s="15" t="s">
        <v>1</v>
      </c>
      <c r="F1" s="16" t="s">
        <v>2</v>
      </c>
      <c r="G1" s="17" t="s">
        <v>3</v>
      </c>
      <c r="H1" s="19" t="s">
        <v>28</v>
      </c>
      <c r="J1" t="s">
        <v>66</v>
      </c>
    </row>
    <row r="2" spans="1:12">
      <c r="A2" s="4" t="s">
        <v>4</v>
      </c>
      <c r="B2" s="5" t="s">
        <v>11</v>
      </c>
      <c r="C2" s="6" t="s">
        <v>12</v>
      </c>
      <c r="D2" s="23" t="s">
        <v>18</v>
      </c>
      <c r="E2" s="4" t="s">
        <v>4</v>
      </c>
      <c r="F2" s="5" t="s">
        <v>11</v>
      </c>
      <c r="G2" s="24" t="s">
        <v>17</v>
      </c>
      <c r="H2" s="25" t="s">
        <v>27</v>
      </c>
      <c r="J2" t="s">
        <v>35</v>
      </c>
      <c r="K2" t="s">
        <v>67</v>
      </c>
      <c r="L2" t="s">
        <v>36</v>
      </c>
    </row>
    <row r="3" spans="1:12">
      <c r="B3" s="1" t="s">
        <v>29</v>
      </c>
      <c r="C3" s="1" t="s">
        <v>34</v>
      </c>
      <c r="D3" s="11" t="s">
        <v>41</v>
      </c>
      <c r="F3" s="1" t="s">
        <v>33</v>
      </c>
      <c r="G3" s="1" t="s">
        <v>40</v>
      </c>
      <c r="H3" s="9" t="s">
        <v>44</v>
      </c>
      <c r="J3" t="s">
        <v>38</v>
      </c>
      <c r="K3" t="s">
        <v>67</v>
      </c>
      <c r="L3" t="s">
        <v>39</v>
      </c>
    </row>
    <row r="4" spans="1:12" ht="18.600000000000001" thickBot="1">
      <c r="A4" s="26"/>
      <c r="B4" s="27" t="s">
        <v>45</v>
      </c>
      <c r="C4" s="28" t="s">
        <v>51</v>
      </c>
      <c r="D4" s="29" t="s">
        <v>52</v>
      </c>
      <c r="E4" s="26"/>
      <c r="F4" s="30" t="s">
        <v>50</v>
      </c>
      <c r="G4" s="28" t="s">
        <v>51</v>
      </c>
      <c r="H4" s="31" t="s">
        <v>65</v>
      </c>
      <c r="J4" t="s">
        <v>15</v>
      </c>
      <c r="K4" t="s">
        <v>67</v>
      </c>
      <c r="L4" t="s">
        <v>16</v>
      </c>
    </row>
    <row r="5" spans="1:12">
      <c r="A5" s="4" t="s">
        <v>5</v>
      </c>
      <c r="B5" s="6" t="s">
        <v>14</v>
      </c>
      <c r="C5" s="24" t="s">
        <v>22</v>
      </c>
      <c r="D5" s="23" t="s">
        <v>23</v>
      </c>
      <c r="E5" s="4" t="s">
        <v>5</v>
      </c>
      <c r="F5" s="24" t="s">
        <v>13</v>
      </c>
      <c r="G5" s="24" t="s">
        <v>21</v>
      </c>
      <c r="H5" s="7" t="s">
        <v>22</v>
      </c>
      <c r="J5" t="s">
        <v>52</v>
      </c>
      <c r="K5" t="s">
        <v>67</v>
      </c>
      <c r="L5" t="s">
        <v>53</v>
      </c>
    </row>
    <row r="6" spans="1:12">
      <c r="B6" s="2" t="s">
        <v>27</v>
      </c>
      <c r="C6" s="1" t="s">
        <v>31</v>
      </c>
      <c r="D6" s="11" t="s">
        <v>42</v>
      </c>
      <c r="F6" s="1" t="s">
        <v>26</v>
      </c>
      <c r="G6" s="1" t="s">
        <v>30</v>
      </c>
      <c r="H6" s="9" t="s">
        <v>41</v>
      </c>
    </row>
    <row r="7" spans="1:12">
      <c r="B7" s="3" t="s">
        <v>43</v>
      </c>
      <c r="C7" s="3" t="s">
        <v>46</v>
      </c>
      <c r="D7" s="11" t="s">
        <v>48</v>
      </c>
      <c r="F7" s="1" t="s">
        <v>42</v>
      </c>
      <c r="G7" s="3" t="s">
        <v>45</v>
      </c>
      <c r="H7" s="12" t="s">
        <v>47</v>
      </c>
    </row>
    <row r="8" spans="1:12" ht="18.600000000000001" thickBot="1">
      <c r="A8" s="26"/>
      <c r="B8" s="28" t="s">
        <v>65</v>
      </c>
      <c r="C8" s="28"/>
      <c r="D8" s="33"/>
      <c r="E8" s="26"/>
      <c r="F8" s="28" t="s">
        <v>64</v>
      </c>
      <c r="G8" s="28"/>
      <c r="H8" s="31"/>
    </row>
    <row r="9" spans="1:12" ht="18.600000000000001" thickBot="1">
      <c r="A9" s="34" t="s">
        <v>6</v>
      </c>
      <c r="B9" s="35" t="s">
        <v>62</v>
      </c>
      <c r="C9" s="36"/>
      <c r="D9" s="37"/>
      <c r="E9" s="34" t="s">
        <v>6</v>
      </c>
      <c r="F9" s="36"/>
      <c r="G9" s="36"/>
      <c r="H9" s="38"/>
    </row>
    <row r="10" spans="1:12">
      <c r="A10" s="4" t="s">
        <v>7</v>
      </c>
      <c r="B10" s="24" t="s">
        <v>13</v>
      </c>
      <c r="C10" s="24" t="s">
        <v>15</v>
      </c>
      <c r="D10" s="10" t="s">
        <v>17</v>
      </c>
      <c r="E10" s="4" t="s">
        <v>7</v>
      </c>
      <c r="F10" s="6" t="s">
        <v>12</v>
      </c>
      <c r="G10" s="6" t="s">
        <v>14</v>
      </c>
      <c r="H10" s="7" t="s">
        <v>16</v>
      </c>
    </row>
    <row r="11" spans="1:12">
      <c r="B11" s="2" t="s">
        <v>19</v>
      </c>
      <c r="C11" s="1" t="s">
        <v>20</v>
      </c>
      <c r="D11" s="13" t="s">
        <v>21</v>
      </c>
      <c r="F11" s="1" t="s">
        <v>18</v>
      </c>
      <c r="G11" s="2" t="s">
        <v>19</v>
      </c>
      <c r="H11" s="9" t="s">
        <v>20</v>
      </c>
    </row>
    <row r="12" spans="1:12">
      <c r="B12" s="1" t="s">
        <v>24</v>
      </c>
      <c r="C12" s="1" t="s">
        <v>25</v>
      </c>
      <c r="D12" s="11" t="s">
        <v>26</v>
      </c>
      <c r="F12" s="1" t="s">
        <v>23</v>
      </c>
      <c r="G12" s="1" t="s">
        <v>24</v>
      </c>
      <c r="H12" s="9" t="s">
        <v>25</v>
      </c>
    </row>
    <row r="13" spans="1:12">
      <c r="B13" s="1" t="s">
        <v>30</v>
      </c>
      <c r="C13" s="1" t="s">
        <v>33</v>
      </c>
      <c r="D13" s="13" t="s">
        <v>35</v>
      </c>
      <c r="F13" s="1" t="s">
        <v>29</v>
      </c>
      <c r="G13" s="1" t="s">
        <v>31</v>
      </c>
      <c r="H13" s="9" t="s">
        <v>32</v>
      </c>
    </row>
    <row r="14" spans="1:12">
      <c r="B14" s="1" t="s">
        <v>37</v>
      </c>
      <c r="C14" s="3" t="s">
        <v>38</v>
      </c>
      <c r="D14" s="11" t="s">
        <v>40</v>
      </c>
      <c r="F14" s="1" t="s">
        <v>34</v>
      </c>
      <c r="G14" s="3" t="s">
        <v>36</v>
      </c>
      <c r="H14" s="9" t="s">
        <v>37</v>
      </c>
    </row>
    <row r="15" spans="1:12">
      <c r="B15" s="1" t="s">
        <v>44</v>
      </c>
      <c r="C15" s="2" t="s">
        <v>47</v>
      </c>
      <c r="D15" s="11" t="s">
        <v>49</v>
      </c>
      <c r="F15" s="3" t="s">
        <v>38</v>
      </c>
      <c r="G15" s="3" t="s">
        <v>39</v>
      </c>
      <c r="H15" s="14" t="s">
        <v>43</v>
      </c>
    </row>
    <row r="16" spans="1:12">
      <c r="B16" s="2" t="s">
        <v>50</v>
      </c>
      <c r="C16" s="1" t="s">
        <v>54</v>
      </c>
      <c r="D16" s="11" t="s">
        <v>55</v>
      </c>
      <c r="F16" s="3" t="s">
        <v>46</v>
      </c>
      <c r="G16" s="1" t="s">
        <v>48</v>
      </c>
      <c r="H16" s="9" t="s">
        <v>49</v>
      </c>
    </row>
    <row r="17" spans="1:8">
      <c r="B17" s="1" t="s">
        <v>56</v>
      </c>
      <c r="C17" s="1" t="s">
        <v>57</v>
      </c>
      <c r="D17" s="11" t="s">
        <v>58</v>
      </c>
      <c r="F17" s="3" t="s">
        <v>53</v>
      </c>
      <c r="G17" s="1" t="s">
        <v>54</v>
      </c>
      <c r="H17" s="9" t="s">
        <v>55</v>
      </c>
    </row>
    <row r="18" spans="1:8">
      <c r="B18" s="3" t="s">
        <v>59</v>
      </c>
      <c r="C18" s="3" t="s">
        <v>60</v>
      </c>
      <c r="D18" s="11" t="s">
        <v>61</v>
      </c>
      <c r="F18" s="1" t="s">
        <v>56</v>
      </c>
      <c r="G18" s="1" t="s">
        <v>57</v>
      </c>
      <c r="H18" s="9" t="s">
        <v>58</v>
      </c>
    </row>
    <row r="19" spans="1:8">
      <c r="B19" s="1" t="s">
        <v>63</v>
      </c>
      <c r="C19" s="1" t="s">
        <v>64</v>
      </c>
      <c r="F19" s="3" t="s">
        <v>59</v>
      </c>
      <c r="G19" s="3" t="s">
        <v>60</v>
      </c>
      <c r="H19" s="9" t="s">
        <v>61</v>
      </c>
    </row>
    <row r="20" spans="1:8" ht="18.600000000000001" thickBot="1">
      <c r="A20" s="26"/>
      <c r="B20" s="28"/>
      <c r="C20" s="28"/>
      <c r="D20" s="33"/>
      <c r="E20" s="26"/>
      <c r="F20" s="30" t="s">
        <v>62</v>
      </c>
      <c r="G20" s="27" t="s">
        <v>63</v>
      </c>
      <c r="H20" s="31"/>
    </row>
    <row r="21" spans="1:8" ht="18.600000000000001" thickBot="1">
      <c r="A21" s="34" t="s">
        <v>8</v>
      </c>
      <c r="B21" s="39" t="s">
        <v>16</v>
      </c>
      <c r="C21" s="39" t="s">
        <v>53</v>
      </c>
      <c r="D21" s="37"/>
      <c r="E21" s="34" t="s">
        <v>8</v>
      </c>
      <c r="F21" s="39" t="s">
        <v>15</v>
      </c>
      <c r="G21" s="39" t="s">
        <v>52</v>
      </c>
      <c r="H21" s="38"/>
    </row>
    <row r="22" spans="1:8" ht="18.600000000000001" thickBot="1">
      <c r="A22" s="34" t="s">
        <v>9</v>
      </c>
      <c r="B22" s="36" t="s">
        <v>32</v>
      </c>
      <c r="C22" s="36"/>
      <c r="D22" s="37"/>
      <c r="E22" s="34" t="s">
        <v>9</v>
      </c>
      <c r="F22" s="36"/>
      <c r="G22" s="36"/>
      <c r="H22" s="38"/>
    </row>
    <row r="23" spans="1:8" ht="18.600000000000001" thickBot="1">
      <c r="A23" s="34" t="s">
        <v>10</v>
      </c>
      <c r="B23" s="39" t="s">
        <v>36</v>
      </c>
      <c r="C23" s="39" t="s">
        <v>39</v>
      </c>
      <c r="D23" s="37"/>
      <c r="E23" s="34" t="s">
        <v>10</v>
      </c>
      <c r="F23" s="39" t="s">
        <v>35</v>
      </c>
      <c r="G23" s="36"/>
      <c r="H23" s="38"/>
    </row>
    <row r="24" spans="1:8">
      <c r="A24" s="20"/>
      <c r="B24" s="21"/>
      <c r="C24" s="21"/>
      <c r="D24" s="22"/>
      <c r="E24" s="20"/>
      <c r="F24" s="21"/>
      <c r="G24" s="21"/>
      <c r="H24" s="3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26C4-5F60-479E-AC21-06EC0EBBBAD8}">
  <dimension ref="A1:F70"/>
  <sheetViews>
    <sheetView tabSelected="1" workbookViewId="0">
      <selection activeCell="B15" sqref="B15:B68"/>
    </sheetView>
  </sheetViews>
  <sheetFormatPr defaultRowHeight="18"/>
  <sheetData>
    <row r="1" spans="1:6">
      <c r="D1" t="s">
        <v>75</v>
      </c>
      <c r="E1" t="s">
        <v>76</v>
      </c>
      <c r="F1" t="s">
        <v>77</v>
      </c>
    </row>
    <row r="2" spans="1:6">
      <c r="A2" t="s">
        <v>68</v>
      </c>
      <c r="B2" t="s">
        <v>67</v>
      </c>
      <c r="C2" t="s">
        <v>69</v>
      </c>
      <c r="D2">
        <v>60.2</v>
      </c>
      <c r="E2">
        <v>2</v>
      </c>
      <c r="F2">
        <f>D2*E2</f>
        <v>120.4</v>
      </c>
    </row>
    <row r="3" spans="1:6">
      <c r="A3" t="s">
        <v>68</v>
      </c>
      <c r="B3" t="s">
        <v>67</v>
      </c>
      <c r="C3" t="s">
        <v>70</v>
      </c>
      <c r="D3">
        <v>47.7</v>
      </c>
      <c r="E3">
        <v>0</v>
      </c>
      <c r="F3">
        <f t="shared" ref="F3:F12" si="0">D3*E3</f>
        <v>0</v>
      </c>
    </row>
    <row r="4" spans="1:6">
      <c r="A4" t="s">
        <v>68</v>
      </c>
      <c r="B4" t="s">
        <v>67</v>
      </c>
      <c r="C4" t="s">
        <v>71</v>
      </c>
      <c r="D4">
        <v>41.6</v>
      </c>
      <c r="E4">
        <v>3</v>
      </c>
      <c r="F4">
        <f t="shared" si="0"/>
        <v>124.80000000000001</v>
      </c>
    </row>
    <row r="5" spans="1:6">
      <c r="A5" t="s">
        <v>68</v>
      </c>
      <c r="B5" t="s">
        <v>67</v>
      </c>
      <c r="C5" t="s">
        <v>72</v>
      </c>
      <c r="D5">
        <v>52.6</v>
      </c>
      <c r="F5">
        <f t="shared" si="0"/>
        <v>0</v>
      </c>
    </row>
    <row r="6" spans="1:6">
      <c r="A6" t="s">
        <v>68</v>
      </c>
      <c r="B6" t="s">
        <v>67</v>
      </c>
      <c r="C6" t="s">
        <v>73</v>
      </c>
      <c r="D6">
        <v>21.5</v>
      </c>
      <c r="F6">
        <f t="shared" si="0"/>
        <v>0</v>
      </c>
    </row>
    <row r="7" spans="1:6">
      <c r="A7" t="s">
        <v>68</v>
      </c>
      <c r="B7" t="s">
        <v>67</v>
      </c>
      <c r="C7" t="s">
        <v>74</v>
      </c>
      <c r="D7">
        <v>9.4</v>
      </c>
      <c r="F7">
        <f t="shared" ref="F7" si="1">D7*E7</f>
        <v>0</v>
      </c>
    </row>
    <row r="8" spans="1:6">
      <c r="A8" t="s">
        <v>74</v>
      </c>
      <c r="B8" t="s">
        <v>67</v>
      </c>
      <c r="C8" t="s">
        <v>69</v>
      </c>
      <c r="D8">
        <v>50.8</v>
      </c>
      <c r="E8">
        <v>4</v>
      </c>
      <c r="F8">
        <f t="shared" si="0"/>
        <v>203.2</v>
      </c>
    </row>
    <row r="9" spans="1:6">
      <c r="A9" t="s">
        <v>74</v>
      </c>
      <c r="B9" t="s">
        <v>67</v>
      </c>
      <c r="C9" t="s">
        <v>70</v>
      </c>
      <c r="D9">
        <v>38.299999999999997</v>
      </c>
      <c r="F9">
        <f t="shared" si="0"/>
        <v>0</v>
      </c>
    </row>
    <row r="10" spans="1:6">
      <c r="A10" t="s">
        <v>74</v>
      </c>
      <c r="B10" t="s">
        <v>67</v>
      </c>
      <c r="C10" t="s">
        <v>71</v>
      </c>
      <c r="D10">
        <v>32.200000000000003</v>
      </c>
      <c r="E10">
        <v>1</v>
      </c>
      <c r="F10">
        <f t="shared" si="0"/>
        <v>32.200000000000003</v>
      </c>
    </row>
    <row r="11" spans="1:6">
      <c r="A11" t="s">
        <v>73</v>
      </c>
      <c r="B11" t="s">
        <v>67</v>
      </c>
      <c r="C11" t="s">
        <v>69</v>
      </c>
      <c r="D11">
        <v>38.700000000000003</v>
      </c>
      <c r="F11">
        <f t="shared" si="0"/>
        <v>0</v>
      </c>
    </row>
    <row r="12" spans="1:6">
      <c r="A12" t="s">
        <v>70</v>
      </c>
      <c r="B12" t="s">
        <v>67</v>
      </c>
      <c r="C12" t="s">
        <v>69</v>
      </c>
      <c r="D12">
        <v>12.5</v>
      </c>
      <c r="F12">
        <f t="shared" si="0"/>
        <v>0</v>
      </c>
    </row>
    <row r="13" spans="1:6">
      <c r="D13" t="s">
        <v>78</v>
      </c>
      <c r="E13">
        <f>SUM(E2:E12)</f>
        <v>10</v>
      </c>
      <c r="F13">
        <f>SUM(F2:F12)</f>
        <v>480.59999999999997</v>
      </c>
    </row>
    <row r="15" spans="1:6">
      <c r="A15" s="1" t="s">
        <v>11</v>
      </c>
      <c r="B15">
        <v>120.4</v>
      </c>
    </row>
    <row r="16" spans="1:6">
      <c r="A16" s="1" t="s">
        <v>12</v>
      </c>
      <c r="B16">
        <v>701.3</v>
      </c>
    </row>
    <row r="17" spans="1:2">
      <c r="A17" s="1" t="s">
        <v>13</v>
      </c>
      <c r="B17">
        <v>304.10000000000002</v>
      </c>
    </row>
    <row r="18" spans="1:2">
      <c r="A18" s="1" t="s">
        <v>14</v>
      </c>
      <c r="B18">
        <v>565.1</v>
      </c>
    </row>
    <row r="19" spans="1:2">
      <c r="A19" s="1" t="s">
        <v>15</v>
      </c>
      <c r="B19">
        <v>394.3</v>
      </c>
    </row>
    <row r="20" spans="1:2">
      <c r="A20" s="1" t="s">
        <v>16</v>
      </c>
      <c r="B20">
        <v>311.10000000000002</v>
      </c>
    </row>
    <row r="21" spans="1:2">
      <c r="A21" s="1" t="s">
        <v>17</v>
      </c>
      <c r="B21">
        <v>385.7</v>
      </c>
    </row>
    <row r="22" spans="1:2">
      <c r="A22" s="1" t="s">
        <v>18</v>
      </c>
      <c r="B22">
        <v>499.9</v>
      </c>
    </row>
    <row r="23" spans="1:2">
      <c r="A23" s="1" t="s">
        <v>19</v>
      </c>
      <c r="B23">
        <v>95.4</v>
      </c>
    </row>
    <row r="24" spans="1:2">
      <c r="A24" s="1" t="s">
        <v>20</v>
      </c>
      <c r="B24">
        <v>445.6</v>
      </c>
    </row>
    <row r="25" spans="1:2">
      <c r="A25" s="1" t="s">
        <v>21</v>
      </c>
      <c r="B25">
        <v>260.3</v>
      </c>
    </row>
    <row r="26" spans="1:2">
      <c r="A26" s="1" t="s">
        <v>22</v>
      </c>
      <c r="B26">
        <v>184.8</v>
      </c>
    </row>
    <row r="27" spans="1:2">
      <c r="A27" s="1" t="s">
        <v>23</v>
      </c>
      <c r="B27">
        <v>503.3</v>
      </c>
    </row>
    <row r="28" spans="1:2">
      <c r="A28" s="1" t="s">
        <v>24</v>
      </c>
      <c r="B28">
        <v>659.8</v>
      </c>
    </row>
    <row r="29" spans="1:2">
      <c r="A29" s="1" t="s">
        <v>25</v>
      </c>
      <c r="B29">
        <v>451.8</v>
      </c>
    </row>
    <row r="30" spans="1:2">
      <c r="A30" s="1" t="s">
        <v>26</v>
      </c>
      <c r="B30">
        <v>635.5</v>
      </c>
    </row>
    <row r="31" spans="1:2">
      <c r="A31" s="1" t="s">
        <v>27</v>
      </c>
      <c r="B31">
        <v>111</v>
      </c>
    </row>
    <row r="32" spans="1:2">
      <c r="A32" s="1" t="s">
        <v>29</v>
      </c>
      <c r="B32">
        <v>512.29999999999995</v>
      </c>
    </row>
    <row r="33" spans="1:2">
      <c r="A33" s="1" t="s">
        <v>30</v>
      </c>
      <c r="B33">
        <v>413.5</v>
      </c>
    </row>
    <row r="34" spans="1:2">
      <c r="A34" s="1" t="s">
        <v>31</v>
      </c>
      <c r="B34">
        <v>463.5</v>
      </c>
    </row>
    <row r="35" spans="1:2">
      <c r="A35" s="1" t="s">
        <v>32</v>
      </c>
      <c r="B35">
        <v>664.7</v>
      </c>
    </row>
    <row r="36" spans="1:2">
      <c r="A36" s="1" t="s">
        <v>33</v>
      </c>
      <c r="B36">
        <v>613.70000000000005</v>
      </c>
    </row>
    <row r="37" spans="1:2">
      <c r="A37" s="1" t="s">
        <v>34</v>
      </c>
      <c r="B37">
        <v>626.5</v>
      </c>
    </row>
    <row r="38" spans="1:2">
      <c r="A38" s="1" t="s">
        <v>35</v>
      </c>
      <c r="B38">
        <v>430.4</v>
      </c>
    </row>
    <row r="39" spans="1:2">
      <c r="A39" s="1" t="s">
        <v>36</v>
      </c>
      <c r="B39">
        <v>401.8</v>
      </c>
    </row>
    <row r="40" spans="1:2">
      <c r="A40" s="1" t="s">
        <v>37</v>
      </c>
      <c r="B40">
        <v>603.79999999999995</v>
      </c>
    </row>
    <row r="41" spans="1:2">
      <c r="A41" s="1" t="s">
        <v>38</v>
      </c>
      <c r="B41">
        <v>388</v>
      </c>
    </row>
    <row r="42" spans="1:2">
      <c r="A42" s="1" t="s">
        <v>39</v>
      </c>
      <c r="B42">
        <v>405.4</v>
      </c>
    </row>
    <row r="43" spans="1:2">
      <c r="A43" s="1" t="s">
        <v>40</v>
      </c>
      <c r="B43">
        <v>543.29999999999995</v>
      </c>
    </row>
    <row r="44" spans="1:2">
      <c r="A44" s="1" t="s">
        <v>41</v>
      </c>
      <c r="B44">
        <v>607</v>
      </c>
    </row>
    <row r="45" spans="1:2">
      <c r="A45" s="1" t="s">
        <v>42</v>
      </c>
      <c r="B45">
        <v>583.20000000000005</v>
      </c>
    </row>
    <row r="46" spans="1:2">
      <c r="A46" s="1" t="s">
        <v>43</v>
      </c>
      <c r="B46">
        <v>254.1</v>
      </c>
    </row>
    <row r="47" spans="1:2">
      <c r="A47" s="1" t="s">
        <v>44</v>
      </c>
      <c r="B47">
        <v>688.7</v>
      </c>
    </row>
    <row r="48" spans="1:2">
      <c r="A48" s="1" t="s">
        <v>45</v>
      </c>
      <c r="B48">
        <v>370.6</v>
      </c>
    </row>
    <row r="49" spans="1:2">
      <c r="A49" s="1" t="s">
        <v>46</v>
      </c>
      <c r="B49">
        <v>235.3</v>
      </c>
    </row>
    <row r="50" spans="1:2">
      <c r="A50" s="1" t="s">
        <v>47</v>
      </c>
      <c r="B50">
        <v>63.3</v>
      </c>
    </row>
    <row r="51" spans="1:2">
      <c r="A51" s="1" t="s">
        <v>48</v>
      </c>
      <c r="B51">
        <v>602.70000000000005</v>
      </c>
    </row>
    <row r="52" spans="1:2">
      <c r="A52" s="1" t="s">
        <v>49</v>
      </c>
      <c r="B52">
        <v>547.79999999999995</v>
      </c>
    </row>
    <row r="53" spans="1:2">
      <c r="A53" s="1" t="s">
        <v>50</v>
      </c>
      <c r="B53">
        <v>72.7</v>
      </c>
    </row>
    <row r="54" spans="1:2">
      <c r="A54" s="1" t="s">
        <v>51</v>
      </c>
      <c r="B54">
        <v>562.4</v>
      </c>
    </row>
    <row r="55" spans="1:2">
      <c r="A55" s="1" t="s">
        <v>52</v>
      </c>
      <c r="B55">
        <v>396.4</v>
      </c>
    </row>
    <row r="56" spans="1:2">
      <c r="A56" s="1" t="s">
        <v>53</v>
      </c>
      <c r="B56">
        <v>311.5</v>
      </c>
    </row>
    <row r="57" spans="1:2">
      <c r="A57" s="1" t="s">
        <v>54</v>
      </c>
      <c r="B57">
        <v>578.79999999999995</v>
      </c>
    </row>
    <row r="58" spans="1:2">
      <c r="A58" s="1" t="s">
        <v>55</v>
      </c>
      <c r="B58">
        <v>641</v>
      </c>
    </row>
    <row r="59" spans="1:2">
      <c r="A59" s="1" t="s">
        <v>56</v>
      </c>
      <c r="B59">
        <v>471</v>
      </c>
    </row>
    <row r="60" spans="1:2">
      <c r="A60" s="1" t="s">
        <v>57</v>
      </c>
      <c r="B60">
        <v>558.20000000000005</v>
      </c>
    </row>
    <row r="61" spans="1:2">
      <c r="A61" s="1" t="s">
        <v>58</v>
      </c>
      <c r="B61">
        <v>120.4</v>
      </c>
    </row>
    <row r="62" spans="1:2">
      <c r="A62" s="1" t="s">
        <v>59</v>
      </c>
      <c r="B62">
        <v>280.2</v>
      </c>
    </row>
    <row r="63" spans="1:2">
      <c r="A63" s="1" t="s">
        <v>60</v>
      </c>
      <c r="B63">
        <v>292.39999999999998</v>
      </c>
    </row>
    <row r="64" spans="1:2">
      <c r="A64" s="1" t="s">
        <v>61</v>
      </c>
      <c r="B64">
        <v>718</v>
      </c>
    </row>
    <row r="65" spans="1:2">
      <c r="A65" s="1" t="s">
        <v>62</v>
      </c>
      <c r="B65">
        <v>89.3</v>
      </c>
    </row>
    <row r="66" spans="1:2">
      <c r="A66" s="1" t="s">
        <v>63</v>
      </c>
      <c r="B66">
        <v>684.8</v>
      </c>
    </row>
    <row r="67" spans="1:2">
      <c r="A67" s="1" t="s">
        <v>64</v>
      </c>
      <c r="B67">
        <v>540.1</v>
      </c>
    </row>
    <row r="68" spans="1:2">
      <c r="A68" s="1" t="s">
        <v>65</v>
      </c>
      <c r="B68">
        <v>480.6</v>
      </c>
    </row>
    <row r="70" spans="1:2">
      <c r="A70" t="s">
        <v>79</v>
      </c>
      <c r="B70">
        <f>AVERAGE(B15:B68)</f>
        <v>434.20000000000005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走行距離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Suzu</dc:creator>
  <cp:lastModifiedBy>K Suzu</cp:lastModifiedBy>
  <dcterms:created xsi:type="dcterms:W3CDTF">2015-06-05T18:19:34Z</dcterms:created>
  <dcterms:modified xsi:type="dcterms:W3CDTF">2026-01-23T02:31:08Z</dcterms:modified>
</cp:coreProperties>
</file>